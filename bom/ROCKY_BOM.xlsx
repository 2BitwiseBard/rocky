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<sst xmlns="http://schemas.openxmlformats.org/spreadsheetml/2006/main" count="224" uniqueCount="127">
  <si>
    <t xml:space="preserve">Project ROCKY - Pebble (subscale radial pentapod) - Bill of Materials</t>
  </si>
  <si>
    <t xml:space="preserve">Prices are July-2026 US estimates (see Source column). Blue cells = edit me (qty, unit price, status). Line totals &amp; rollups are formulas. Already owned (excluded): printer hot ends/nozzles, PLA + CF-PLA + purple PETG stock, Xbox Elite controller.</t>
  </si>
  <si>
    <t xml:space="preserve">Phase / Batch</t>
  </si>
  <si>
    <t xml:space="preserve">Category</t>
  </si>
  <si>
    <t xml:space="preserve">Item</t>
  </si>
  <si>
    <t xml:space="preserve">Spec / Notes</t>
  </si>
  <si>
    <t xml:space="preserve">Qty</t>
  </si>
  <si>
    <t xml:space="preserve">Unit $ (est)</t>
  </si>
  <si>
    <t xml:space="preserve">Line Total $</t>
  </si>
  <si>
    <t xml:space="preserve">Source (Jul 2026)</t>
  </si>
  <si>
    <t xml:space="preserve">Status</t>
  </si>
  <si>
    <t xml:space="preserve">0-Foundations</t>
  </si>
  <si>
    <t xml:space="preserve">Materials</t>
  </si>
  <si>
    <t xml:space="preserve">TPU filament 1 kg (95A)</t>
  </si>
  <si>
    <t xml:space="preserve">Foot pads, bumpers, gaskets - only filament type not in current stock</t>
  </si>
  <si>
    <t xml:space="preserve">Amazon; est</t>
  </si>
  <si>
    <t xml:space="preserve">to buy</t>
  </si>
  <si>
    <t xml:space="preserve">PETG restock 1 kg x2</t>
  </si>
  <si>
    <t xml:space="preserve">OPTIONAL: when the purple runs out; PLA/CF-PLA cover jigs + Phase-1 links meanwhile</t>
  </si>
  <si>
    <t xml:space="preserve">Amazon; est; OPTIONAL</t>
  </si>
  <si>
    <t xml:space="preserve">Tools</t>
  </si>
  <si>
    <t xml:space="preserve">Digital calipers 150mm</t>
  </si>
  <si>
    <t xml:space="preserve">OPTIONAL: skip if owned - essential for CAD fit checks</t>
  </si>
  <si>
    <t xml:space="preserve">1-One True Leg</t>
  </si>
  <si>
    <t xml:space="preserve">Actuators</t>
  </si>
  <si>
    <t xml:space="preserve">Feetech/Waveshare ST3215 bus servo, 12V 30kg.cm</t>
  </si>
  <si>
    <t xml:space="preserve">MUST be 12V variant; magnetic encoder, 1Mbps TTL bus; $16.99-21.99 depending on vendor</t>
  </si>
  <si>
    <t xml:space="preserve">waveshare.com/st3215-servo.htm; Amazon B0CFY52HVV</t>
  </si>
  <si>
    <t xml:space="preserve">Feetech SCS0009 micro bus servo</t>
  </si>
  <si>
    <t xml:space="preserve">Hand/claw drive prototype; same TTL bus, 2.3 kg.cm</t>
  </si>
  <si>
    <t xml:space="preserve">Seeed SCS0009 p-6535; Amazon 2-pack; est</t>
  </si>
  <si>
    <t xml:space="preserve">Electronics</t>
  </si>
  <si>
    <t xml:space="preserve">Waveshare Bus Servo Adapter (A)</t>
  </si>
  <si>
    <t xml:space="preserve">UART&lt;-&gt;TTL bus + servo power distribution</t>
  </si>
  <si>
    <t xml:space="preserve">waveshare.com/bus-servo-adapter-a.htm; est</t>
  </si>
  <si>
    <t xml:space="preserve">Bench PSU 12V 10A</t>
  </si>
  <si>
    <t xml:space="preserve">Powers leg jig before batteries exist; reused as charger supply</t>
  </si>
  <si>
    <t xml:space="preserve">Mechanical</t>
  </si>
  <si>
    <t xml:space="preserve">Compression/die spring assortment</t>
  </si>
  <si>
    <t xml:space="preserve">SEA shin: ~7mm travel at 8-12N preload</t>
  </si>
  <si>
    <t xml:space="preserve">Amazon/AliExpress; est</t>
  </si>
  <si>
    <t xml:space="preserve">Carbon fiber tube 8-10mm OD x2</t>
  </si>
  <si>
    <t xml:space="preserve">Tibia shins</t>
  </si>
  <si>
    <t xml:space="preserve">Hardware</t>
  </si>
  <si>
    <t xml:space="preserve">M2/M2.5/M3 screw + nut assortment</t>
  </si>
  <si>
    <t xml:space="preserve">Mostly M3; includes locknuts</t>
  </si>
  <si>
    <t xml:space="preserve">683ZZ bearings 3x7x3 (10-pack)</t>
  </si>
  <si>
    <t xml:space="preserve">Coxa yaw shaft support</t>
  </si>
  <si>
    <t xml:space="preserve">M3 heat-set inserts (100)</t>
  </si>
  <si>
    <t xml:space="preserve">For parts opened repeatedly</t>
  </si>
  <si>
    <t xml:space="preserve">Misc: wire, JST leads, couplers</t>
  </si>
  <si>
    <t xml:space="preserve">Phase-1 consumables</t>
  </si>
  <si>
    <t xml:space="preserve">est</t>
  </si>
  <si>
    <t xml:space="preserve">USB-UART dongle (CP2102/CH343)</t>
  </si>
  <si>
    <t xml:space="preserve">Drive the servo bus straight from the laptop for bench work, before the Pi exists</t>
  </si>
  <si>
    <t xml:space="preserve">2-Pebble Walks</t>
  </si>
  <si>
    <t xml:space="preserve">ST3215 12V 30kg.cm (11 more + 2 spares)</t>
  </si>
  <si>
    <t xml:space="preserve">Brings leg-servo total to 15 + 2 spares</t>
  </si>
  <si>
    <t xml:space="preserve">waveshare.com/st3215-servo.htm</t>
  </si>
  <si>
    <t xml:space="preserve">SCS0009 micro bus servo (4 more)</t>
  </si>
  <si>
    <t xml:space="preserve">Completes 5 hands</t>
  </si>
  <si>
    <t xml:space="preserve">Seeed/Amazon; est</t>
  </si>
  <si>
    <t xml:space="preserve">Compute</t>
  </si>
  <si>
    <t xml:space="preserve">Raspberry Pi 5, 8GB</t>
  </si>
  <si>
    <t xml:space="preserve">Feb-2026 price after memory-shortage rises (was $80)</t>
  </si>
  <si>
    <t xml:space="preserve">Tom's Hardware Feb-2026; raspberrypi.com</t>
  </si>
  <si>
    <t xml:space="preserve">microSD 64GB A2 + Pi active cooler</t>
  </si>
  <si>
    <t xml:space="preserve">Boot media + thermals</t>
  </si>
  <si>
    <t xml:space="preserve">Power</t>
  </si>
  <si>
    <t xml:space="preserve">3S LiPo 5200mAh 30C+ XT60 x2</t>
  </si>
  <si>
    <t xml:space="preserve">~45 min walking each at 80% DoD</t>
  </si>
  <si>
    <t xml:space="preserve">Amazon (Zeee/HRB class); est</t>
  </si>
  <si>
    <t xml:space="preserve">LiPo balance charger + charge bag</t>
  </si>
  <si>
    <t xml:space="preserve">B6AC/ISDT class</t>
  </si>
  <si>
    <t xml:space="preserve">5V/5A buck converter</t>
  </si>
  <si>
    <t xml:space="preserve">Pi 5 supply from 3S rail</t>
  </si>
  <si>
    <t xml:space="preserve">XT60 pigtails, inline fuse + 15A fuses, power switch</t>
  </si>
  <si>
    <t xml:space="preserve">Power tree per plan section 4</t>
  </si>
  <si>
    <t xml:space="preserve">Wiring</t>
  </si>
  <si>
    <t xml:space="preserve">Silicone wire kit 16/20/24 AWG + servo extension leads</t>
  </si>
  <si>
    <t xml:space="preserve">Harness</t>
  </si>
  <si>
    <t xml:space="preserve">Inline XT60 wattmeter/power analyzer</t>
  </si>
  <si>
    <t xml:space="preserve">OPTIONAL: live A/W/Wh readout - validates the power budget, catches sick servos early</t>
  </si>
  <si>
    <t xml:space="preserve">3-Pebble Senses</t>
  </si>
  <si>
    <t xml:space="preserve">Sensors</t>
  </si>
  <si>
    <t xml:space="preserve">Adafruit BNO085 9-DOF IMU</t>
  </si>
  <si>
    <t xml:space="preserve">On-chip fusion -&gt; quaternions over I2C</t>
  </si>
  <si>
    <t xml:space="preserve">adafruit.com/product/4754</t>
  </si>
  <si>
    <t xml:space="preserve">Pi Camera Module 3 Wide + 500mm cable</t>
  </si>
  <si>
    <t xml:space="preserve">On mini pan turret (uses 1 SCS0009)</t>
  </si>
  <si>
    <t xml:space="preserve">raspberrypi.com; est</t>
  </si>
  <si>
    <t xml:space="preserve">Pan-turret SCS0009 + microswitches (10pk)</t>
  </si>
  <si>
    <t xml:space="preserve">Foot contact switches in SEA cartridges</t>
  </si>
  <si>
    <t xml:space="preserve">OAK-D Lite depth camera</t>
  </si>
  <si>
    <t xml:space="preserve">OPTIONAL: stereo depth + on-camera NN</t>
  </si>
  <si>
    <t xml:space="preserve">shop.luxonis.com; verify current price; OPTIONAL</t>
  </si>
  <si>
    <t xml:space="preserve">360-deg lidar (LD19/RPLidar-C1 class)</t>
  </si>
  <si>
    <t xml:space="preserve">OPTIONAL: SLAM/nav for a robot with no front</t>
  </si>
  <si>
    <t xml:space="preserve">RobotShop/Amazon; est; OPTIONAL</t>
  </si>
  <si>
    <t xml:space="preserve">4-Pebble Thinks</t>
  </si>
  <si>
    <t xml:space="preserve">Audio</t>
  </si>
  <si>
    <t xml:space="preserve">I2S amp (MAX98357A) + 4-ohm speaker</t>
  </si>
  <si>
    <t xml:space="preserve">Chord-speak voice</t>
  </si>
  <si>
    <t xml:space="preserve">Adafruit/Amazon; est</t>
  </si>
  <si>
    <t xml:space="preserve">USB mini microphone</t>
  </si>
  <si>
    <t xml:space="preserve">Voice commands (or use laptop mic)</t>
  </si>
  <si>
    <t xml:space="preserve">GRAND TOTAL (all items):</t>
  </si>
  <si>
    <t xml:space="preserve">Project ROCKY - Budget Summary</t>
  </si>
  <si>
    <t xml:space="preserve">Rolls up live from the BOM sheet via SUMIFS - edit quantities/prices there.</t>
  </si>
  <si>
    <t xml:space="preserve">Gate (what must work before next spend)</t>
  </si>
  <si>
    <t xml:space="preserve">Subtotal $</t>
  </si>
  <si>
    <t xml:space="preserve">Cumulative $</t>
  </si>
  <si>
    <t xml:space="preserve">Prusa prints PETG cleanly; pentapod walks in MuJoCo sim</t>
  </si>
  <si>
    <t xml:space="preserve">Bench leg tracks ROS 2 trajectories; SEA shin survives impacts; claw prototype works</t>
  </si>
  <si>
    <t xml:space="preserve">Stands, wave-gait walks omnidirectionally, teleop</t>
  </si>
  <si>
    <t xml:space="preserve">IMU-stabilized body; terrain adaptation via foot contacts; camera streams</t>
  </si>
  <si>
    <t xml:space="preserve">Laptop VLM agent drives robot skills by voice/vision; chord-speak</t>
  </si>
  <si>
    <t xml:space="preserve">TOTAL</t>
  </si>
  <si>
    <t xml:space="preserve">Budget envelope</t>
  </si>
  <si>
    <t xml:space="preserve">Headroom remaining</t>
  </si>
  <si>
    <t xml:space="preserve">Trim levers if needed:</t>
  </si>
  <si>
    <t xml:space="preserve">Buy ST3215 direct from Waveshare (~$17) or AliExpress official FEETECH store (~$14-16): saves $30-80 across 17 units - VERIFY 12V/30kg.cm variant</t>
  </si>
  <si>
    <t xml:space="preserve">Skip the 2 spare servos initially: -$38 (riskier)</t>
  </si>
  <si>
    <t xml:space="preserve">Defer OAK-D Lite and lidar (yellow OPTIONAL rows): -$227; or eBay a used robot-vacuum lidar (~$15-30) for Phase 3</t>
  </si>
  <si>
    <t xml:space="preserve">One LiPo instead of two to start: -$37</t>
  </si>
  <si>
    <t xml:space="preserve">Per-leg marginal cost after leg #1: ~ $70-75 (3x ST3215 + 1x SCS0009); everything else in Batch 1 is one-time shared kit</t>
  </si>
  <si>
    <t xml:space="preserve">Legend: blue = editable input (qty, unit price, status, envelope); black = formula; yellow rows on BOM = optional items.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</si>
</sst>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5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5" t="s">
        <v>14</v>
      </c>
      <c r="E5" s="6" t="n">
        <v>1</v>
      </c>
      <c r="F5" s="7" t="n">
        <v>25</v>
      </c>
      <c r="G5" s="8" t="n">
        <f aca="false">E5*F5</f>
        <v>25</v>
      </c>
      <c r="H5" s="9" t="s">
        <v>15</v>
      </c>
      <c r="I5" s="6" t="s">
        <v>16</v>
      </c>
    </row>
    <row r="6" customFormat="false" ht="15" hidden="false" customHeight="false" outlineLevel="0" collapsed="false">
      <c r="A6" s="10" t="s">
        <v>11</v>
      </c>
      <c r="B6" s="10" t="s">
        <v>12</v>
      </c>
      <c r="C6" s="10" t="s">
        <v>17</v>
      </c>
      <c r="D6" s="11" t="s">
        <v>18</v>
      </c>
      <c r="E6" s="12" t="n">
        <v>2</v>
      </c>
      <c r="F6" s="13" t="n">
        <v>20</v>
      </c>
      <c r="G6" s="14" t="n">
        <f aca="false">E6*F6</f>
        <v>40</v>
      </c>
      <c r="H6" s="15" t="s">
        <v>19</v>
      </c>
      <c r="I6" s="12" t="s">
        <v>16</v>
      </c>
    </row>
    <row r="7" customFormat="false" ht="15" hidden="false" customHeight="false" outlineLevel="0" collapsed="false">
      <c r="A7" s="10" t="s">
        <v>11</v>
      </c>
      <c r="B7" s="10" t="s">
        <v>20</v>
      </c>
      <c r="C7" s="10" t="s">
        <v>21</v>
      </c>
      <c r="D7" s="11" t="s">
        <v>22</v>
      </c>
      <c r="E7" s="12" t="n">
        <v>1</v>
      </c>
      <c r="F7" s="13" t="n">
        <v>22</v>
      </c>
      <c r="G7" s="14" t="n">
        <f aca="false">E7*F7</f>
        <v>22</v>
      </c>
      <c r="H7" s="15" t="s">
        <v>19</v>
      </c>
      <c r="I7" s="12" t="s">
        <v>16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25</v>
      </c>
      <c r="D8" s="5" t="s">
        <v>26</v>
      </c>
      <c r="E8" s="6" t="n">
        <v>4</v>
      </c>
      <c r="F8" s="7" t="n">
        <v>19</v>
      </c>
      <c r="G8" s="8" t="n">
        <f aca="false">E8*F8</f>
        <v>76</v>
      </c>
      <c r="H8" s="9" t="s">
        <v>27</v>
      </c>
      <c r="I8" s="6" t="s">
        <v>16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28</v>
      </c>
      <c r="D9" s="5" t="s">
        <v>29</v>
      </c>
      <c r="E9" s="6" t="n">
        <v>1</v>
      </c>
      <c r="F9" s="7" t="n">
        <v>12</v>
      </c>
      <c r="G9" s="8" t="n">
        <f aca="false">E9*F9</f>
        <v>12</v>
      </c>
      <c r="H9" s="9" t="s">
        <v>30</v>
      </c>
      <c r="I9" s="6" t="s">
        <v>16</v>
      </c>
    </row>
    <row r="10" customFormat="false" ht="15" hidden="false" customHeight="false" outlineLevel="0" collapsed="false">
      <c r="A10" s="4" t="s">
        <v>23</v>
      </c>
      <c r="B10" s="4" t="s">
        <v>31</v>
      </c>
      <c r="C10" s="4" t="s">
        <v>32</v>
      </c>
      <c r="D10" s="5" t="s">
        <v>33</v>
      </c>
      <c r="E10" s="6" t="n">
        <v>1</v>
      </c>
      <c r="F10" s="7" t="n">
        <v>7</v>
      </c>
      <c r="G10" s="8" t="n">
        <f aca="false">E10*F10</f>
        <v>7</v>
      </c>
      <c r="H10" s="9" t="s">
        <v>34</v>
      </c>
      <c r="I10" s="6" t="s">
        <v>16</v>
      </c>
    </row>
    <row r="11" customFormat="false" ht="15" hidden="false" customHeight="false" outlineLevel="0" collapsed="false">
      <c r="A11" s="4" t="s">
        <v>23</v>
      </c>
      <c r="B11" s="4" t="s">
        <v>31</v>
      </c>
      <c r="C11" s="4" t="s">
        <v>35</v>
      </c>
      <c r="D11" s="5" t="s">
        <v>36</v>
      </c>
      <c r="E11" s="6" t="n">
        <v>1</v>
      </c>
      <c r="F11" s="7" t="n">
        <v>26</v>
      </c>
      <c r="G11" s="8" t="n">
        <f aca="false">E11*F11</f>
        <v>26</v>
      </c>
      <c r="H11" s="9" t="s">
        <v>15</v>
      </c>
      <c r="I11" s="6" t="s">
        <v>16</v>
      </c>
    </row>
    <row r="12" customFormat="false" ht="15" hidden="false" customHeight="false" outlineLevel="0" collapsed="false">
      <c r="A12" s="4" t="s">
        <v>23</v>
      </c>
      <c r="B12" s="4" t="s">
        <v>37</v>
      </c>
      <c r="C12" s="4" t="s">
        <v>38</v>
      </c>
      <c r="D12" s="5" t="s">
        <v>39</v>
      </c>
      <c r="E12" s="6" t="n">
        <v>1</v>
      </c>
      <c r="F12" s="7" t="n">
        <v>10</v>
      </c>
      <c r="G12" s="8" t="n">
        <f aca="false">E12*F12</f>
        <v>10</v>
      </c>
      <c r="H12" s="9" t="s">
        <v>40</v>
      </c>
      <c r="I12" s="6" t="s">
        <v>16</v>
      </c>
    </row>
    <row r="13" customFormat="false" ht="15" hidden="false" customHeight="false" outlineLevel="0" collapsed="false">
      <c r="A13" s="4" t="s">
        <v>23</v>
      </c>
      <c r="B13" s="4" t="s">
        <v>37</v>
      </c>
      <c r="C13" s="4" t="s">
        <v>41</v>
      </c>
      <c r="D13" s="5" t="s">
        <v>42</v>
      </c>
      <c r="E13" s="6" t="n">
        <v>2</v>
      </c>
      <c r="F13" s="7" t="n">
        <v>7</v>
      </c>
      <c r="G13" s="8" t="n">
        <f aca="false">E13*F13</f>
        <v>14</v>
      </c>
      <c r="H13" s="9" t="s">
        <v>40</v>
      </c>
      <c r="I13" s="6" t="s">
        <v>16</v>
      </c>
    </row>
    <row r="14" customFormat="false" ht="15" hidden="false" customHeight="false" outlineLevel="0" collapsed="false">
      <c r="A14" s="4" t="s">
        <v>23</v>
      </c>
      <c r="B14" s="4" t="s">
        <v>43</v>
      </c>
      <c r="C14" s="4" t="s">
        <v>44</v>
      </c>
      <c r="D14" s="5" t="s">
        <v>45</v>
      </c>
      <c r="E14" s="6" t="n">
        <v>1</v>
      </c>
      <c r="F14" s="7" t="n">
        <v>25</v>
      </c>
      <c r="G14" s="8" t="n">
        <f aca="false">E14*F14</f>
        <v>25</v>
      </c>
      <c r="H14" s="9" t="s">
        <v>15</v>
      </c>
      <c r="I14" s="6" t="s">
        <v>16</v>
      </c>
    </row>
    <row r="15" customFormat="false" ht="15" hidden="false" customHeight="false" outlineLevel="0" collapsed="false">
      <c r="A15" s="4" t="s">
        <v>23</v>
      </c>
      <c r="B15" s="4" t="s">
        <v>43</v>
      </c>
      <c r="C15" s="4" t="s">
        <v>46</v>
      </c>
      <c r="D15" s="5" t="s">
        <v>47</v>
      </c>
      <c r="E15" s="6" t="n">
        <v>1</v>
      </c>
      <c r="F15" s="7" t="n">
        <v>8</v>
      </c>
      <c r="G15" s="8" t="n">
        <f aca="false">E15*F15</f>
        <v>8</v>
      </c>
      <c r="H15" s="9" t="s">
        <v>15</v>
      </c>
      <c r="I15" s="6" t="s">
        <v>16</v>
      </c>
    </row>
    <row r="16" customFormat="false" ht="15" hidden="false" customHeight="false" outlineLevel="0" collapsed="false">
      <c r="A16" s="4" t="s">
        <v>23</v>
      </c>
      <c r="B16" s="4" t="s">
        <v>43</v>
      </c>
      <c r="C16" s="4" t="s">
        <v>48</v>
      </c>
      <c r="D16" s="5" t="s">
        <v>49</v>
      </c>
      <c r="E16" s="6" t="n">
        <v>1</v>
      </c>
      <c r="F16" s="7" t="n">
        <v>12</v>
      </c>
      <c r="G16" s="8" t="n">
        <f aca="false">E16*F16</f>
        <v>12</v>
      </c>
      <c r="H16" s="9" t="s">
        <v>15</v>
      </c>
      <c r="I16" s="6" t="s">
        <v>16</v>
      </c>
    </row>
    <row r="17" customFormat="false" ht="15" hidden="false" customHeight="false" outlineLevel="0" collapsed="false">
      <c r="A17" s="4" t="s">
        <v>23</v>
      </c>
      <c r="B17" s="4" t="s">
        <v>43</v>
      </c>
      <c r="C17" s="4" t="s">
        <v>50</v>
      </c>
      <c r="D17" s="5" t="s">
        <v>51</v>
      </c>
      <c r="E17" s="6" t="n">
        <v>1</v>
      </c>
      <c r="F17" s="7" t="n">
        <v>10</v>
      </c>
      <c r="G17" s="8" t="n">
        <f aca="false">E17*F17</f>
        <v>10</v>
      </c>
      <c r="H17" s="9" t="s">
        <v>52</v>
      </c>
      <c r="I17" s="6" t="s">
        <v>16</v>
      </c>
    </row>
    <row r="18" customFormat="false" ht="15" hidden="false" customHeight="false" outlineLevel="0" collapsed="false">
      <c r="A18" s="4" t="s">
        <v>23</v>
      </c>
      <c r="B18" s="4" t="s">
        <v>31</v>
      </c>
      <c r="C18" s="4" t="s">
        <v>53</v>
      </c>
      <c r="D18" s="5" t="s">
        <v>54</v>
      </c>
      <c r="E18" s="6" t="n">
        <v>1</v>
      </c>
      <c r="F18" s="7" t="n">
        <v>8</v>
      </c>
      <c r="G18" s="8" t="n">
        <f aca="false">E18*F18</f>
        <v>8</v>
      </c>
      <c r="H18" s="9" t="s">
        <v>15</v>
      </c>
      <c r="I18" s="6" t="s">
        <v>16</v>
      </c>
    </row>
    <row r="19" customFormat="false" ht="15" hidden="false" customHeight="false" outlineLevel="0" collapsed="false">
      <c r="A19" s="4" t="s">
        <v>55</v>
      </c>
      <c r="B19" s="4" t="s">
        <v>24</v>
      </c>
      <c r="C19" s="4" t="s">
        <v>56</v>
      </c>
      <c r="D19" s="5" t="s">
        <v>57</v>
      </c>
      <c r="E19" s="6" t="n">
        <v>13</v>
      </c>
      <c r="F19" s="7" t="n">
        <v>19</v>
      </c>
      <c r="G19" s="8" t="n">
        <f aca="false">E19*F19</f>
        <v>247</v>
      </c>
      <c r="H19" s="9" t="s">
        <v>58</v>
      </c>
      <c r="I19" s="6" t="s">
        <v>16</v>
      </c>
    </row>
    <row r="20" customFormat="false" ht="15" hidden="false" customHeight="false" outlineLevel="0" collapsed="false">
      <c r="A20" s="4" t="s">
        <v>55</v>
      </c>
      <c r="B20" s="4" t="s">
        <v>24</v>
      </c>
      <c r="C20" s="4" t="s">
        <v>59</v>
      </c>
      <c r="D20" s="5" t="s">
        <v>60</v>
      </c>
      <c r="E20" s="6" t="n">
        <v>4</v>
      </c>
      <c r="F20" s="7" t="n">
        <v>12</v>
      </c>
      <c r="G20" s="8" t="n">
        <f aca="false">E20*F20</f>
        <v>48</v>
      </c>
      <c r="H20" s="9" t="s">
        <v>61</v>
      </c>
      <c r="I20" s="6" t="s">
        <v>16</v>
      </c>
    </row>
    <row r="21" customFormat="false" ht="15" hidden="false" customHeight="false" outlineLevel="0" collapsed="false">
      <c r="A21" s="4" t="s">
        <v>55</v>
      </c>
      <c r="B21" s="4" t="s">
        <v>62</v>
      </c>
      <c r="C21" s="4" t="s">
        <v>63</v>
      </c>
      <c r="D21" s="5" t="s">
        <v>64</v>
      </c>
      <c r="E21" s="6" t="n">
        <v>1</v>
      </c>
      <c r="F21" s="7" t="n">
        <v>125</v>
      </c>
      <c r="G21" s="8" t="n">
        <f aca="false">E21*F21</f>
        <v>125</v>
      </c>
      <c r="H21" s="9" t="s">
        <v>65</v>
      </c>
      <c r="I21" s="6" t="s">
        <v>16</v>
      </c>
    </row>
    <row r="22" customFormat="false" ht="15" hidden="false" customHeight="false" outlineLevel="0" collapsed="false">
      <c r="A22" s="4" t="s">
        <v>55</v>
      </c>
      <c r="B22" s="4" t="s">
        <v>62</v>
      </c>
      <c r="C22" s="4" t="s">
        <v>66</v>
      </c>
      <c r="D22" s="5" t="s">
        <v>67</v>
      </c>
      <c r="E22" s="6" t="n">
        <v>1</v>
      </c>
      <c r="F22" s="7" t="n">
        <v>18</v>
      </c>
      <c r="G22" s="8" t="n">
        <f aca="false">E22*F22</f>
        <v>18</v>
      </c>
      <c r="H22" s="9" t="s">
        <v>15</v>
      </c>
      <c r="I22" s="6" t="s">
        <v>16</v>
      </c>
    </row>
    <row r="23" customFormat="false" ht="15" hidden="false" customHeight="false" outlineLevel="0" collapsed="false">
      <c r="A23" s="4" t="s">
        <v>55</v>
      </c>
      <c r="B23" s="4" t="s">
        <v>68</v>
      </c>
      <c r="C23" s="4" t="s">
        <v>69</v>
      </c>
      <c r="D23" s="5" t="s">
        <v>70</v>
      </c>
      <c r="E23" s="6" t="n">
        <v>2</v>
      </c>
      <c r="F23" s="7" t="n">
        <v>37</v>
      </c>
      <c r="G23" s="8" t="n">
        <f aca="false">E23*F23</f>
        <v>74</v>
      </c>
      <c r="H23" s="9" t="s">
        <v>71</v>
      </c>
      <c r="I23" s="6" t="s">
        <v>16</v>
      </c>
    </row>
    <row r="24" customFormat="false" ht="15" hidden="false" customHeight="false" outlineLevel="0" collapsed="false">
      <c r="A24" s="4" t="s">
        <v>55</v>
      </c>
      <c r="B24" s="4" t="s">
        <v>68</v>
      </c>
      <c r="C24" s="4" t="s">
        <v>72</v>
      </c>
      <c r="D24" s="5" t="s">
        <v>73</v>
      </c>
      <c r="E24" s="6" t="n">
        <v>1</v>
      </c>
      <c r="F24" s="7" t="n">
        <v>43</v>
      </c>
      <c r="G24" s="8" t="n">
        <f aca="false">E24*F24</f>
        <v>43</v>
      </c>
      <c r="H24" s="9" t="s">
        <v>15</v>
      </c>
      <c r="I24" s="6" t="s">
        <v>16</v>
      </c>
    </row>
    <row r="25" customFormat="false" ht="15" hidden="false" customHeight="false" outlineLevel="0" collapsed="false">
      <c r="A25" s="4" t="s">
        <v>55</v>
      </c>
      <c r="B25" s="4" t="s">
        <v>68</v>
      </c>
      <c r="C25" s="4" t="s">
        <v>74</v>
      </c>
      <c r="D25" s="5" t="s">
        <v>75</v>
      </c>
      <c r="E25" s="6" t="n">
        <v>1</v>
      </c>
      <c r="F25" s="7" t="n">
        <v>16</v>
      </c>
      <c r="G25" s="8" t="n">
        <f aca="false">E25*F25</f>
        <v>16</v>
      </c>
      <c r="H25" s="9" t="s">
        <v>15</v>
      </c>
      <c r="I25" s="6" t="s">
        <v>16</v>
      </c>
    </row>
    <row r="26" customFormat="false" ht="15" hidden="false" customHeight="false" outlineLevel="0" collapsed="false">
      <c r="A26" s="4" t="s">
        <v>55</v>
      </c>
      <c r="B26" s="4" t="s">
        <v>68</v>
      </c>
      <c r="C26" s="4" t="s">
        <v>76</v>
      </c>
      <c r="D26" s="5" t="s">
        <v>77</v>
      </c>
      <c r="E26" s="6" t="n">
        <v>1</v>
      </c>
      <c r="F26" s="7" t="n">
        <v>26</v>
      </c>
      <c r="G26" s="8" t="n">
        <f aca="false">E26*F26</f>
        <v>26</v>
      </c>
      <c r="H26" s="9" t="s">
        <v>15</v>
      </c>
      <c r="I26" s="6" t="s">
        <v>16</v>
      </c>
    </row>
    <row r="27" customFormat="false" ht="15" hidden="false" customHeight="false" outlineLevel="0" collapsed="false">
      <c r="A27" s="4" t="s">
        <v>55</v>
      </c>
      <c r="B27" s="4" t="s">
        <v>78</v>
      </c>
      <c r="C27" s="4" t="s">
        <v>79</v>
      </c>
      <c r="D27" s="5" t="s">
        <v>80</v>
      </c>
      <c r="E27" s="6" t="n">
        <v>1</v>
      </c>
      <c r="F27" s="7" t="n">
        <v>30</v>
      </c>
      <c r="G27" s="8" t="n">
        <f aca="false">E27*F27</f>
        <v>30</v>
      </c>
      <c r="H27" s="9" t="s">
        <v>15</v>
      </c>
      <c r="I27" s="6" t="s">
        <v>16</v>
      </c>
    </row>
    <row r="28" customFormat="false" ht="15" hidden="false" customHeight="false" outlineLevel="0" collapsed="false">
      <c r="A28" s="10" t="s">
        <v>55</v>
      </c>
      <c r="B28" s="10" t="s">
        <v>68</v>
      </c>
      <c r="C28" s="10" t="s">
        <v>81</v>
      </c>
      <c r="D28" s="11" t="s">
        <v>82</v>
      </c>
      <c r="E28" s="12" t="n">
        <v>1</v>
      </c>
      <c r="F28" s="13" t="n">
        <v>12</v>
      </c>
      <c r="G28" s="14" t="n">
        <f aca="false">E28*F28</f>
        <v>12</v>
      </c>
      <c r="H28" s="15" t="s">
        <v>19</v>
      </c>
      <c r="I28" s="12" t="s">
        <v>16</v>
      </c>
    </row>
    <row r="29" customFormat="false" ht="15" hidden="false" customHeight="false" outlineLevel="0" collapsed="false">
      <c r="A29" s="4" t="s">
        <v>83</v>
      </c>
      <c r="B29" s="4" t="s">
        <v>84</v>
      </c>
      <c r="C29" s="4" t="s">
        <v>85</v>
      </c>
      <c r="D29" s="5" t="s">
        <v>86</v>
      </c>
      <c r="E29" s="6" t="n">
        <v>1</v>
      </c>
      <c r="F29" s="7" t="n">
        <v>24.95</v>
      </c>
      <c r="G29" s="8" t="n">
        <f aca="false">E29*F29</f>
        <v>24.95</v>
      </c>
      <c r="H29" s="9" t="s">
        <v>87</v>
      </c>
      <c r="I29" s="6" t="s">
        <v>16</v>
      </c>
    </row>
    <row r="30" customFormat="false" ht="15" hidden="false" customHeight="false" outlineLevel="0" collapsed="false">
      <c r="A30" s="4" t="s">
        <v>83</v>
      </c>
      <c r="B30" s="4" t="s">
        <v>84</v>
      </c>
      <c r="C30" s="4" t="s">
        <v>88</v>
      </c>
      <c r="D30" s="5" t="s">
        <v>89</v>
      </c>
      <c r="E30" s="6" t="n">
        <v>1</v>
      </c>
      <c r="F30" s="7" t="n">
        <v>41</v>
      </c>
      <c r="G30" s="8" t="n">
        <f aca="false">E30*F30</f>
        <v>41</v>
      </c>
      <c r="H30" s="9" t="s">
        <v>90</v>
      </c>
      <c r="I30" s="6" t="s">
        <v>16</v>
      </c>
    </row>
    <row r="31" customFormat="false" ht="15" hidden="false" customHeight="false" outlineLevel="0" collapsed="false">
      <c r="A31" s="4" t="s">
        <v>83</v>
      </c>
      <c r="B31" s="4" t="s">
        <v>84</v>
      </c>
      <c r="C31" s="4" t="s">
        <v>91</v>
      </c>
      <c r="D31" s="5" t="s">
        <v>92</v>
      </c>
      <c r="E31" s="6" t="n">
        <v>1</v>
      </c>
      <c r="F31" s="7" t="n">
        <v>20</v>
      </c>
      <c r="G31" s="8" t="n">
        <f aca="false">E31*F31</f>
        <v>20</v>
      </c>
      <c r="H31" s="9" t="s">
        <v>61</v>
      </c>
      <c r="I31" s="6" t="s">
        <v>16</v>
      </c>
    </row>
    <row r="32" customFormat="false" ht="15" hidden="false" customHeight="false" outlineLevel="0" collapsed="false">
      <c r="A32" s="10" t="s">
        <v>83</v>
      </c>
      <c r="B32" s="10" t="s">
        <v>84</v>
      </c>
      <c r="C32" s="10" t="s">
        <v>93</v>
      </c>
      <c r="D32" s="11" t="s">
        <v>94</v>
      </c>
      <c r="E32" s="12" t="n">
        <v>1</v>
      </c>
      <c r="F32" s="13" t="n">
        <v>128</v>
      </c>
      <c r="G32" s="14" t="n">
        <f aca="false">E32*F32</f>
        <v>128</v>
      </c>
      <c r="H32" s="15" t="s">
        <v>95</v>
      </c>
      <c r="I32" s="12" t="s">
        <v>16</v>
      </c>
    </row>
    <row r="33" customFormat="false" ht="15" hidden="false" customHeight="false" outlineLevel="0" collapsed="false">
      <c r="A33" s="10" t="s">
        <v>83</v>
      </c>
      <c r="B33" s="10" t="s">
        <v>84</v>
      </c>
      <c r="C33" s="10" t="s">
        <v>96</v>
      </c>
      <c r="D33" s="11" t="s">
        <v>97</v>
      </c>
      <c r="E33" s="12" t="n">
        <v>1</v>
      </c>
      <c r="F33" s="13" t="n">
        <v>99</v>
      </c>
      <c r="G33" s="14" t="n">
        <f aca="false">E33*F33</f>
        <v>99</v>
      </c>
      <c r="H33" s="15" t="s">
        <v>98</v>
      </c>
      <c r="I33" s="12" t="s">
        <v>16</v>
      </c>
    </row>
    <row r="34" customFormat="false" ht="15" hidden="false" customHeight="false" outlineLevel="0" collapsed="false">
      <c r="A34" s="4" t="s">
        <v>99</v>
      </c>
      <c r="B34" s="4" t="s">
        <v>100</v>
      </c>
      <c r="C34" s="4" t="s">
        <v>101</v>
      </c>
      <c r="D34" s="5" t="s">
        <v>102</v>
      </c>
      <c r="E34" s="6" t="n">
        <v>1</v>
      </c>
      <c r="F34" s="7" t="n">
        <v>14</v>
      </c>
      <c r="G34" s="8" t="n">
        <f aca="false">E34*F34</f>
        <v>14</v>
      </c>
      <c r="H34" s="9" t="s">
        <v>103</v>
      </c>
      <c r="I34" s="6" t="s">
        <v>16</v>
      </c>
    </row>
    <row r="35" customFormat="false" ht="15" hidden="false" customHeight="false" outlineLevel="0" collapsed="false">
      <c r="A35" s="4" t="s">
        <v>99</v>
      </c>
      <c r="B35" s="4" t="s">
        <v>100</v>
      </c>
      <c r="C35" s="4" t="s">
        <v>104</v>
      </c>
      <c r="D35" s="5" t="s">
        <v>105</v>
      </c>
      <c r="E35" s="6" t="n">
        <v>1</v>
      </c>
      <c r="F35" s="7" t="n">
        <v>15</v>
      </c>
      <c r="G35" s="8" t="n">
        <f aca="false">E35*F35</f>
        <v>15</v>
      </c>
      <c r="H35" s="9" t="s">
        <v>15</v>
      </c>
      <c r="I35" s="6" t="s">
        <v>16</v>
      </c>
    </row>
    <row r="37" customFormat="false" ht="15" hidden="false" customHeight="false" outlineLevel="0" collapsed="false">
      <c r="F37" s="16" t="s">
        <v>106</v>
      </c>
      <c r="G37" s="17" t="n">
        <f aca="false">SUM(G5:G35)</f>
        <v>1275.95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18" t="s">
        <v>2</v>
      </c>
      <c r="B4" s="18" t="s">
        <v>109</v>
      </c>
      <c r="C4" s="18" t="s">
        <v>110</v>
      </c>
      <c r="D4" s="18" t="s">
        <v>111</v>
      </c>
    </row>
    <row r="5" customFormat="false" ht="15" hidden="false" customHeight="false" outlineLevel="0" collapsed="false">
      <c r="A5" s="19" t="s">
        <v>11</v>
      </c>
      <c r="B5" s="20" t="s">
        <v>112</v>
      </c>
      <c r="C5" s="21" t="n">
        <f aca="false">SUMIFS(BOM!$G$5:$G$35,BOM!$A$5:$A$35,A5)</f>
        <v>87</v>
      </c>
      <c r="D5" s="21" t="n">
        <f aca="false">SUM($C$5:C5)</f>
        <v>87</v>
      </c>
    </row>
    <row r="6" customFormat="false" ht="15" hidden="false" customHeight="false" outlineLevel="0" collapsed="false">
      <c r="A6" s="19" t="s">
        <v>23</v>
      </c>
      <c r="B6" s="20" t="s">
        <v>113</v>
      </c>
      <c r="C6" s="21" t="n">
        <f aca="false">SUMIFS(BOM!$G$5:$G$35,BOM!$A$5:$A$35,A6)</f>
        <v>208</v>
      </c>
      <c r="D6" s="21" t="n">
        <f aca="false">SUM($C$5:C6)</f>
        <v>295</v>
      </c>
    </row>
    <row r="7" customFormat="false" ht="15" hidden="false" customHeight="false" outlineLevel="0" collapsed="false">
      <c r="A7" s="19" t="s">
        <v>55</v>
      </c>
      <c r="B7" s="20" t="s">
        <v>114</v>
      </c>
      <c r="C7" s="21" t="n">
        <f aca="false">SUMIFS(BOM!$G$5:$G$35,BOM!$A$5:$A$35,A7)</f>
        <v>639</v>
      </c>
      <c r="D7" s="21" t="n">
        <f aca="false">SUM($C$5:C7)</f>
        <v>934</v>
      </c>
    </row>
    <row r="8" customFormat="false" ht="15" hidden="false" customHeight="false" outlineLevel="0" collapsed="false">
      <c r="A8" s="19" t="s">
        <v>83</v>
      </c>
      <c r="B8" s="20" t="s">
        <v>115</v>
      </c>
      <c r="C8" s="21" t="n">
        <f aca="false">SUMIFS(BOM!$G$5:$G$35,BOM!$A$5:$A$35,A8)</f>
        <v>312.95</v>
      </c>
      <c r="D8" s="21" t="n">
        <f aca="false">SUM($C$5:C8)</f>
        <v>1246.95</v>
      </c>
    </row>
    <row r="9" customFormat="false" ht="15" hidden="false" customHeight="false" outlineLevel="0" collapsed="false">
      <c r="A9" s="19" t="s">
        <v>99</v>
      </c>
      <c r="B9" s="20" t="s">
        <v>116</v>
      </c>
      <c r="C9" s="21" t="n">
        <f aca="false">SUMIFS(BOM!$G$5:$G$35,BOM!$A$5:$A$35,A9)</f>
        <v>29</v>
      </c>
      <c r="D9" s="21" t="n">
        <f aca="false">SUM($C$5:C9)</f>
        <v>1275.95</v>
      </c>
    </row>
    <row r="10" customFormat="false" ht="15" hidden="false" customHeight="false" outlineLevel="0" collapsed="false">
      <c r="A10" s="16" t="s">
        <v>117</v>
      </c>
      <c r="C10" s="17" t="n">
        <f aca="false">SUM(C5:C9)</f>
        <v>1275.95</v>
      </c>
    </row>
    <row r="12" customFormat="false" ht="15" hidden="false" customHeight="false" outlineLevel="0" collapsed="false">
      <c r="A12" s="16" t="s">
        <v>118</v>
      </c>
      <c r="B12" s="22" t="n">
        <v>1500</v>
      </c>
    </row>
    <row r="13" customFormat="false" ht="15" hidden="false" customHeight="false" outlineLevel="0" collapsed="false">
      <c r="A13" s="16" t="s">
        <v>119</v>
      </c>
      <c r="B13" s="17" t="n">
        <f aca="false">B12-C10</f>
        <v>224.05</v>
      </c>
    </row>
    <row r="15" customFormat="false" ht="15" hidden="false" customHeight="false" outlineLevel="0" collapsed="false">
      <c r="A15" s="23" t="s">
        <v>120</v>
      </c>
    </row>
    <row r="16" customFormat="false" ht="15" hidden="false" customHeight="false" outlineLevel="0" collapsed="false">
      <c r="A16" s="20" t="s">
        <v>121</v>
      </c>
    </row>
    <row r="17" customFormat="false" ht="15" hidden="false" customHeight="false" outlineLevel="0" collapsed="false">
      <c r="A17" s="20" t="s">
        <v>122</v>
      </c>
    </row>
    <row r="18" customFormat="false" ht="15" hidden="false" customHeight="false" outlineLevel="0" collapsed="false">
      <c r="A18" s="20" t="s">
        <v>123</v>
      </c>
    </row>
    <row r="19" customFormat="false" ht="15" hidden="false" customHeight="false" outlineLevel="0" collapsed="false">
      <c r="A19" s="20" t="s">
        <v>124</v>
      </c>
    </row>
    <row r="20" customFormat="false" ht="15" hidden="false" customHeight="false" outlineLevel="0" collapsed="false">
      <c r="A20" s="20" t="s">
        <v>125</v>
      </c>
    </row>
    <row r="22" customFormat="false" ht="15" hidden="false" customHeight="false" outlineLevel="0" collapsed="false">
      <c r="A22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2026-07-27T20:14:59Z</dcterms:created>
  <dc:creator>openpyxl</dc:creator>
  <dc:description/>
  <dc:language>en-US</dc:language>
  <cp:lastModifiedBy/>
  <dcterms:modified xsi:type="dcterms:W3CDTF">2026-07-27T20:14:59Z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